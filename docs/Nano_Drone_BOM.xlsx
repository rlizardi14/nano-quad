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b994bbceb1eae073/Documents/Drone Project/"/>
    </mc:Choice>
  </mc:AlternateContent>
  <xr:revisionPtr revIDLastSave="52" documentId="11_CFA1FE8EFB5A20512867B5597D4BEF3B29237A55" xr6:coauthVersionLast="47" xr6:coauthVersionMax="47" xr10:uidLastSave="{C642F7B5-6177-44CD-98EA-8CDD84ECE707}"/>
  <bookViews>
    <workbookView xWindow="-98" yWindow="-98" windowWidth="21795" windowHeight="13875" tabRatio="500" activeTab="2" xr2:uid="{00000000-000D-0000-FFFF-FFFF00000000}"/>
  </bookViews>
  <sheets>
    <sheet name="BOM" sheetId="1" r:id="rId1"/>
    <sheet name="Mass Budget" sheetId="2" r:id="rId2"/>
    <sheet name="Budget" sheetId="3" r:id="rId3"/>
  </sheets>
  <definedNames>
    <definedName name="_xlnm._FilterDatabase" localSheetId="0" hidden="1">BOM!$A$4:$M$34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3" l="1"/>
  <c r="B17" i="3"/>
  <c r="B16" i="3"/>
  <c r="B15" i="3"/>
  <c r="B14" i="3"/>
  <c r="B13" i="3"/>
  <c r="B9" i="3"/>
  <c r="B6" i="3"/>
  <c r="B5" i="3"/>
  <c r="B4" i="3"/>
  <c r="B7" i="3" s="1"/>
  <c r="B3" i="3"/>
  <c r="E22" i="2"/>
  <c r="E18" i="2"/>
  <c r="G17" i="2"/>
  <c r="G19" i="2" s="1"/>
  <c r="E17" i="2"/>
  <c r="E19" i="2" s="1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K36" i="1"/>
  <c r="J36" i="1"/>
  <c r="B10" i="3" l="1"/>
  <c r="B8" i="3"/>
  <c r="G20" i="2"/>
  <c r="G21" i="2" s="1"/>
  <c r="G23" i="2"/>
  <c r="E20" i="2"/>
  <c r="E21" i="2" s="1"/>
  <c r="E23" i="2"/>
</calcChain>
</file>

<file path=xl/sharedStrings.xml><?xml version="1.0" encoding="utf-8"?>
<sst xmlns="http://schemas.openxmlformats.org/spreadsheetml/2006/main" count="345" uniqueCount="212">
  <si>
    <t>DIY Nano Drone — Bill of Materials</t>
  </si>
  <si>
    <t>Legend: blue text / yellow fill = edit these cells. Status dropdown: Have · To order · Ordered · Received · Verified · Deferred. Est. costs are as of 2026-10-30; verify at checkout.</t>
  </si>
  <si>
    <t>ID</t>
  </si>
  <si>
    <t>Order</t>
  </si>
  <si>
    <t>Category</t>
  </si>
  <si>
    <t>Item</t>
  </si>
  <si>
    <t>Spec to verify before buying / on arrival</t>
  </si>
  <si>
    <t>Qty needed</t>
  </si>
  <si>
    <t>Qty to buy</t>
  </si>
  <si>
    <t>Vendor</t>
  </si>
  <si>
    <t>Link</t>
  </si>
  <si>
    <t>Est. cost ($)</t>
  </si>
  <si>
    <t>Actual cost ($)</t>
  </si>
  <si>
    <t>Status</t>
  </si>
  <si>
    <t>Notes</t>
  </si>
  <si>
    <t>01</t>
  </si>
  <si>
    <t>A</t>
  </si>
  <si>
    <t>Flight controller</t>
  </si>
  <si>
    <t>ESP32-C3 SuperMini (3-pack)</t>
  </si>
  <si>
    <t>Title says 'SuperMini'; USB-C; BOOT + RESET buttons</t>
  </si>
  <si>
    <t>2</t>
  </si>
  <si>
    <t>1 pack</t>
  </si>
  <si>
    <t>To order</t>
  </si>
  <si>
    <t>02</t>
  </si>
  <si>
    <t>Sensors</t>
  </si>
  <si>
    <t>GY-521 MPU-6050 (2–3 pack)</t>
  </si>
  <si>
    <t>On arrival: WHO_AM_I reads 0x68</t>
  </si>
  <si>
    <t>1</t>
  </si>
  <si>
    <t>Spare in case of a bad clone</t>
  </si>
  <si>
    <t>03</t>
  </si>
  <si>
    <t>Propulsion</t>
  </si>
  <si>
    <t>8520 coreless brushed motor set, 2 CW + 2 CCW</t>
  </si>
  <si>
    <t>1.0 mm shaft; 8.5 x 20 mm; ~5 g each</t>
  </si>
  <si>
    <t>4</t>
  </si>
  <si>
    <t>1 set</t>
  </si>
  <si>
    <t>SpeedyFPV</t>
  </si>
  <si>
    <t>link</t>
  </si>
  <si>
    <t>On sale $4.49 (list $8.99)</t>
  </si>
  <si>
    <t>04</t>
  </si>
  <si>
    <t>LDARC 65 mm props, 1 mm shaft (20 pcs)</t>
  </si>
  <si>
    <t>Listing title says 1 mm shaft; 10 CW + 10 CCW</t>
  </si>
  <si>
    <t>Spares for crashes</t>
  </si>
  <si>
    <t>05</t>
  </si>
  <si>
    <t>Shipping</t>
  </si>
  <si>
    <t>SpeedyFPV shipping</t>
  </si>
  <si>
    <t>Listed estimate</t>
  </si>
  <si>
    <t>06</t>
  </si>
  <si>
    <t>Test rig</t>
  </si>
  <si>
    <t>1 kg straight-bar load cell + HX711</t>
  </si>
  <si>
    <t>1 kg capacity (not 5 kg); HX711 80 Hz mode</t>
  </si>
  <si>
    <t>1 kit (4-set ok)</t>
  </si>
  <si>
    <t>Thrust stand + precision scale</t>
  </si>
  <si>
    <t>07</t>
  </si>
  <si>
    <t>Motor driver</t>
  </si>
  <si>
    <t>AO3400A N-ch MOSFET, SOT-23</t>
  </si>
  <si>
    <t>Datasheet R_DS(on) spec'd at 2.5 V gate</t>
  </si>
  <si>
    <t>10</t>
  </si>
  <si>
    <t>08</t>
  </si>
  <si>
    <t>SS34 Schottky diode, 40 V 3 A</t>
  </si>
  <si>
    <t>SMA/SMB package; check cathode band</t>
  </si>
  <si>
    <t>09</t>
  </si>
  <si>
    <t>SOT-23 to DIP adapter boards</t>
  </si>
  <si>
    <t>Fits SOT-23-3</t>
  </si>
  <si>
    <t>Power</t>
  </si>
  <si>
    <t>470 µF electrolytic capacitor</t>
  </si>
  <si>
    <t>≥ 10 V rating; low-ESR preferred</t>
  </si>
  <si>
    <t>11</t>
  </si>
  <si>
    <t>10 nF ceramic capacitor (103)</t>
  </si>
  <si>
    <t>12</t>
  </si>
  <si>
    <t>Remote</t>
  </si>
  <si>
    <t>SPDT toggle switch</t>
  </si>
  <si>
    <t>13</t>
  </si>
  <si>
    <t>Order 3 shipping (if any)</t>
  </si>
  <si>
    <t>Fill in at checkout</t>
  </si>
  <si>
    <t>14</t>
  </si>
  <si>
    <t>B</t>
  </si>
  <si>
    <t>1S LiPo/LiHV, ~450 mAh, BT2.0 (4-pack)</t>
  </si>
  <si>
    <t>Chemistry matches charger (4.20 vs 4.35 V)</t>
  </si>
  <si>
    <t>BETAFPV / SpeedyFPV</t>
  </si>
  <si>
    <t>Deferred</t>
  </si>
  <si>
    <t>Est. — verify after Milestone 3</t>
  </si>
  <si>
    <t>15</t>
  </si>
  <si>
    <t>1S charger, BT2.0, matching chemistry</t>
  </si>
  <si>
    <t>Charge voltage matches battery</t>
  </si>
  <si>
    <t>BETAFPV</t>
  </si>
  <si>
    <t>Est. — verify</t>
  </si>
  <si>
    <t>16</t>
  </si>
  <si>
    <t>BT2.0 pigtail</t>
  </si>
  <si>
    <t>17</t>
  </si>
  <si>
    <t>3.3 V buck-boost regulator (Pololu S7V8F3 or equiv.)</t>
  </si>
  <si>
    <t>Input 2.7 V+; ≥ 500 mA out</t>
  </si>
  <si>
    <t>Pololu</t>
  </si>
  <si>
    <t>18</t>
  </si>
  <si>
    <t>Mechanical</t>
  </si>
  <si>
    <t>M2 screws / nylon standoffs kit</t>
  </si>
  <si>
    <t>1 kit</t>
  </si>
  <si>
    <t>Amazon</t>
  </si>
  <si>
    <t>Est.</t>
  </si>
  <si>
    <t>19</t>
  </si>
  <si>
    <t>Hook-and-loop battery strap</t>
  </si>
  <si>
    <t>20</t>
  </si>
  <si>
    <t>Have</t>
  </si>
  <si>
    <t>Prototyping</t>
  </si>
  <si>
    <t>Breadboard + M-M / M-F jumpers</t>
  </si>
  <si>
    <t>0</t>
  </si>
  <si>
    <t>ELEGOO kit</t>
  </si>
  <si>
    <t>21</t>
  </si>
  <si>
    <t>Passives</t>
  </si>
  <si>
    <t>100 Ω resistors</t>
  </si>
  <si>
    <t>Gate resistors</t>
  </si>
  <si>
    <t>22</t>
  </si>
  <si>
    <t>100 kΩ resistors</t>
  </si>
  <si>
    <t>6</t>
  </si>
  <si>
    <t>Gate pull-downs + battery divider</t>
  </si>
  <si>
    <t>23</t>
  </si>
  <si>
    <t>100 nF ceramic (104)</t>
  </si>
  <si>
    <t>Decoupling</t>
  </si>
  <si>
    <t>24</t>
  </si>
  <si>
    <t>10 µF capacitors</t>
  </si>
  <si>
    <t>≥ 6.3 V</t>
  </si>
  <si>
    <t>25</t>
  </si>
  <si>
    <t>LEDs + momentary button</t>
  </si>
  <si>
    <t>Status LEDs, kill switch</t>
  </si>
  <si>
    <t>26</t>
  </si>
  <si>
    <t>Materials</t>
  </si>
  <si>
    <t>PETG filament (1 kg)</t>
  </si>
  <si>
    <t>~100 g</t>
  </si>
  <si>
    <t>On hand</t>
  </si>
  <si>
    <t>Frame, rigs, coupon</t>
  </si>
  <si>
    <t>27</t>
  </si>
  <si>
    <t>TPU filament</t>
  </si>
  <si>
    <t>~20 g</t>
  </si>
  <si>
    <t>Prop guards</t>
  </si>
  <si>
    <t>28</t>
  </si>
  <si>
    <t>Tools</t>
  </si>
  <si>
    <t>Bench supply 0–30 V / 0–10 A, multimeter, FNIRSI scope, iron, calipers, data cable, glasses, LiPo bag</t>
  </si>
  <si>
    <t>Verified 2026-10-30</t>
  </si>
  <si>
    <t>29</t>
  </si>
  <si>
    <t>Wiring</t>
  </si>
  <si>
    <t>Silicone wire 22 AWG + 26–28 AWG, heat-shrink</t>
  </si>
  <si>
    <t>Confirm you have it</t>
  </si>
  <si>
    <t>On hand?</t>
  </si>
  <si>
    <t>Change to 'To order' if missing</t>
  </si>
  <si>
    <t>30</t>
  </si>
  <si>
    <t>Later</t>
  </si>
  <si>
    <t>KY-023 joystick modules (pair)</t>
  </si>
  <si>
    <t>1 pair</t>
  </si>
  <si>
    <t>Amazon / AliExpress</t>
  </si>
  <si>
    <t>Milestone 9 handheld remote</t>
  </si>
  <si>
    <t>Totals</t>
  </si>
  <si>
    <t>Mass Budget — Milestone 0</t>
  </si>
  <si>
    <t>Fill yellow cells with vendor-listed masses now (cite the source); replace with load-cell measurements later. Totals and thrust checks compute automatically.</t>
  </si>
  <si>
    <t>Component</t>
  </si>
  <si>
    <t>Qty</t>
  </si>
  <si>
    <t>Est. mass each (g)</t>
  </si>
  <si>
    <t>Source of estimate</t>
  </si>
  <si>
    <t>Est. total (g)</t>
  </si>
  <si>
    <t>Measured each (g)</t>
  </si>
  <si>
    <t>Measured total (g)</t>
  </si>
  <si>
    <t>8520 motor</t>
  </si>
  <si>
    <t>SpeedyFPV listing</t>
  </si>
  <si>
    <t>65 mm prop</t>
  </si>
  <si>
    <t>LDARC listing (SpeedyFPV)</t>
  </si>
  <si>
    <t>1S ~450 mAh battery</t>
  </si>
  <si>
    <t>ESP32-C3 SuperMini</t>
  </si>
  <si>
    <t>GY-521 IMU</t>
  </si>
  <si>
    <t>3.3 V buck-boost regulator</t>
  </si>
  <si>
    <t>Motor-driver board (MOSFETs, diodes, caps, perfboard)</t>
  </si>
  <si>
    <t>Wiring + BT2.0 pigtail</t>
  </si>
  <si>
    <t>Frame (target 10–15 g)</t>
  </si>
  <si>
    <t>Fasteners, tape, strap, foam</t>
  </si>
  <si>
    <t>Estimate</t>
  </si>
  <si>
    <t>Measured</t>
  </si>
  <si>
    <t>Subtotal (g)</t>
  </si>
  <si>
    <t>Margin for forgotten items</t>
  </si>
  <si>
    <t>All-up weight, AUW (g)</t>
  </si>
  <si>
    <t>Hover thrust per motor = AUW/4 (g)</t>
  </si>
  <si>
    <t>Required max thrust per motor for T/W = 2 (g)</t>
  </si>
  <si>
    <t>Max thrust per motor (g)</t>
  </si>
  <si>
    <t>Placeholder: one buyer's review of the SpeedyFPV set reported 27 g. Replace with your thrust-stand result (Milestone 3).</t>
  </si>
  <si>
    <t>Thrust-to-weight ratio</t>
  </si>
  <si>
    <t>Target ≥ 2.0 for adequate control authority</t>
  </si>
  <si>
    <t>Budget Summary</t>
  </si>
  <si>
    <t>Project budget ($)</t>
  </si>
  <si>
    <t>Order A — estimated</t>
  </si>
  <si>
    <t>Order B — estimated</t>
  </si>
  <si>
    <t>Later (stretch) — estimated</t>
  </si>
  <si>
    <t>Total estimated (A + B)</t>
  </si>
  <si>
    <t>Remaining after estimate (A + B)</t>
  </si>
  <si>
    <t>Actual spent to date</t>
  </si>
  <si>
    <t>Remaining vs. actual</t>
  </si>
  <si>
    <t>Status counts</t>
  </si>
  <si>
    <t>Ordered</t>
  </si>
  <si>
    <t>Received</t>
  </si>
  <si>
    <t>Verified</t>
  </si>
  <si>
    <t>AliExpress (TENSTAR, HongWeiWei)</t>
  </si>
  <si>
    <t>AliExpress</t>
  </si>
  <si>
    <t>AliExpress (Hippogriff Workshop Store)</t>
  </si>
  <si>
    <t>AliExpress (VoltSteed Pro Store)</t>
  </si>
  <si>
    <t>AliExpress (Estardyn Choice Store)</t>
  </si>
  <si>
    <t>AliExpress (IRUWB)</t>
  </si>
  <si>
    <t>AliExpress (Shop1104159084)</t>
  </si>
  <si>
    <t>AliExpress (Ediy)</t>
  </si>
  <si>
    <t>AliExpress (TENSTAR)</t>
  </si>
  <si>
    <t>1 drone FC, 1 ground station</t>
  </si>
  <si>
    <t>100 pcs</t>
  </si>
  <si>
    <t>90 pcs</t>
  </si>
  <si>
    <t>5 pcs</t>
  </si>
  <si>
    <t>120 pcs assorted</t>
  </si>
  <si>
    <t>300 pcs assorted</t>
  </si>
  <si>
    <t>20 pcs</t>
  </si>
  <si>
    <t>AliExpress (Ace Wong)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</si>
</sst>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u/>
      <sz val="11"/>
      <color rgb="FF0563C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4" fontId="7" fillId="0" borderId="1" xfId="0" applyNumberFormat="1" applyFont="1" applyBorder="1"/>
    <xf numFmtId="0" fontId="3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165" fontId="5" fillId="3" borderId="1" xfId="0" applyNumberFormat="1" applyFon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/>
    <xf numFmtId="9" fontId="5" fillId="3" borderId="1" xfId="0" applyNumberFormat="1" applyFont="1" applyFill="1" applyBorder="1"/>
    <xf numFmtId="165" fontId="5" fillId="3" borderId="1" xfId="0" applyNumberFormat="1" applyFont="1" applyFill="1" applyBorder="1"/>
    <xf numFmtId="2" fontId="0" fillId="0" borderId="1" xfId="0" applyNumberFormat="1" applyBorder="1"/>
    <xf numFmtId="164" fontId="5" fillId="3" borderId="1" xfId="0" applyNumberFormat="1" applyFont="1" applyFill="1" applyBorder="1"/>
    <xf numFmtId="0" fontId="4" fillId="0" borderId="0" xfId="0" applyFon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6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c/kp/digital-load-cell-kit" TargetMode="External"/><Relationship Id="rId2" Type="http://schemas.openxmlformats.org/officeDocument/2006/relationships/hyperlink" Target="https://speedyfpv.com/products/10-pairs-kingkong-65mm-propellers-for-720-8520-coreless-motor-micro-fpv-drone" TargetMode="External"/><Relationship Id="rId1" Type="http://schemas.openxmlformats.org/officeDocument/2006/relationships/hyperlink" Target="https://speedyfpv.com/products/usaq-8520-coreless-brushed-motor-set-53-000rpm-with-2cw-2ccw-65mm-propellers" TargetMode="External"/><Relationship Id="rId4" Type="http://schemas.openxmlformats.org/officeDocument/2006/relationships/hyperlink" Target="https://www.digikey.com/en/products/detail/alpha-omega-semiconductor-inc/AO3400A/1855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zoomScaleNormal="100" workbookViewId="0">
      <pane xSplit="4" ySplit="4" topLeftCell="E31" activePane="bottomRight" state="frozen"/>
      <selection pane="topRight" activeCell="E1" sqref="E1"/>
      <selection pane="bottomLeft" activeCell="A5" sqref="A5"/>
      <selection pane="bottomRight" activeCell="L24" sqref="L24"/>
    </sheetView>
  </sheetViews>
  <sheetFormatPr defaultColWidth="8.6640625" defaultRowHeight="14.25" x14ac:dyDescent="0.45"/>
  <cols>
    <col min="1" max="1" width="5" customWidth="1"/>
    <col min="2" max="2" width="7" customWidth="1"/>
    <col min="3" max="3" width="13" customWidth="1"/>
    <col min="4" max="4" width="34" customWidth="1"/>
    <col min="5" max="5" width="30" customWidth="1"/>
    <col min="6" max="6" width="9" customWidth="1"/>
    <col min="7" max="7" width="10" customWidth="1"/>
    <col min="8" max="8" width="20" customWidth="1"/>
    <col min="9" max="9" width="7" customWidth="1"/>
    <col min="10" max="12" width="11" customWidth="1"/>
    <col min="13" max="13" width="30" customWidth="1"/>
  </cols>
  <sheetData>
    <row r="1" spans="1:13" ht="17.649999999999999" x14ac:dyDescent="0.5">
      <c r="A1" s="2" t="s">
        <v>0</v>
      </c>
    </row>
    <row r="2" spans="1:13" x14ac:dyDescent="0.4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ht="27.75" x14ac:dyDescent="0.4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ht="40.5" x14ac:dyDescent="0.4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195</v>
      </c>
      <c r="I5" s="5"/>
      <c r="J5" s="6">
        <v>11.39</v>
      </c>
      <c r="K5" s="7">
        <v>0</v>
      </c>
      <c r="L5" s="8" t="s">
        <v>193</v>
      </c>
      <c r="M5" s="5" t="s">
        <v>204</v>
      </c>
    </row>
    <row r="6" spans="1:13" ht="27" x14ac:dyDescent="0.45">
      <c r="A6" s="5" t="s">
        <v>23</v>
      </c>
      <c r="B6" s="5" t="s">
        <v>16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21</v>
      </c>
      <c r="H6" s="5" t="s">
        <v>198</v>
      </c>
      <c r="I6" s="5"/>
      <c r="J6" s="6">
        <v>7</v>
      </c>
      <c r="K6" s="7">
        <v>6.45</v>
      </c>
      <c r="L6" s="8" t="s">
        <v>193</v>
      </c>
      <c r="M6" s="5" t="s">
        <v>28</v>
      </c>
    </row>
    <row r="7" spans="1:13" ht="27" x14ac:dyDescent="0.45">
      <c r="A7" s="5" t="s">
        <v>29</v>
      </c>
      <c r="B7" s="5" t="s">
        <v>16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9" t="s">
        <v>36</v>
      </c>
      <c r="J7" s="6">
        <v>4.49</v>
      </c>
      <c r="K7" s="7">
        <v>4.49</v>
      </c>
      <c r="L7" s="8" t="s">
        <v>192</v>
      </c>
      <c r="M7" s="5" t="s">
        <v>37</v>
      </c>
    </row>
    <row r="8" spans="1:13" ht="27" x14ac:dyDescent="0.45">
      <c r="A8" s="5" t="s">
        <v>38</v>
      </c>
      <c r="B8" s="5" t="s">
        <v>16</v>
      </c>
      <c r="C8" s="5" t="s">
        <v>30</v>
      </c>
      <c r="D8" s="5" t="s">
        <v>39</v>
      </c>
      <c r="E8" s="5" t="s">
        <v>40</v>
      </c>
      <c r="F8" s="5" t="s">
        <v>33</v>
      </c>
      <c r="G8" s="5" t="s">
        <v>21</v>
      </c>
      <c r="H8" s="5" t="s">
        <v>197</v>
      </c>
      <c r="I8" s="9" t="s">
        <v>36</v>
      </c>
      <c r="J8" s="6">
        <v>6.99</v>
      </c>
      <c r="K8" s="7">
        <v>2.89</v>
      </c>
      <c r="L8" s="8" t="s">
        <v>192</v>
      </c>
      <c r="M8" s="5" t="s">
        <v>41</v>
      </c>
    </row>
    <row r="9" spans="1:13" x14ac:dyDescent="0.45">
      <c r="A9" s="5" t="s">
        <v>42</v>
      </c>
      <c r="B9" s="5" t="s">
        <v>16</v>
      </c>
      <c r="C9" s="5" t="s">
        <v>43</v>
      </c>
      <c r="D9" s="5" t="s">
        <v>44</v>
      </c>
      <c r="E9" s="5"/>
      <c r="F9" s="5"/>
      <c r="G9" s="5"/>
      <c r="H9" s="5" t="s">
        <v>35</v>
      </c>
      <c r="I9" s="5"/>
      <c r="J9" s="6">
        <v>1.99</v>
      </c>
      <c r="K9" s="7">
        <v>1.99</v>
      </c>
      <c r="L9" s="8" t="s">
        <v>192</v>
      </c>
      <c r="M9" s="5" t="s">
        <v>45</v>
      </c>
    </row>
    <row r="10" spans="1:13" ht="27" x14ac:dyDescent="0.45">
      <c r="A10" s="5" t="s">
        <v>46</v>
      </c>
      <c r="B10" s="5" t="s">
        <v>16</v>
      </c>
      <c r="C10" s="5" t="s">
        <v>47</v>
      </c>
      <c r="D10" s="5" t="s">
        <v>48</v>
      </c>
      <c r="E10" s="5" t="s">
        <v>49</v>
      </c>
      <c r="F10" s="5" t="s">
        <v>27</v>
      </c>
      <c r="G10" s="5" t="s">
        <v>50</v>
      </c>
      <c r="H10" s="5" t="s">
        <v>199</v>
      </c>
      <c r="I10" s="9" t="s">
        <v>36</v>
      </c>
      <c r="J10" s="6">
        <v>11.19</v>
      </c>
      <c r="K10" s="7">
        <v>2.19</v>
      </c>
      <c r="L10" s="8" t="s">
        <v>192</v>
      </c>
      <c r="M10" s="5" t="s">
        <v>51</v>
      </c>
    </row>
    <row r="11" spans="1:13" ht="27" x14ac:dyDescent="0.45">
      <c r="A11" s="5" t="s">
        <v>52</v>
      </c>
      <c r="B11" s="5" t="s">
        <v>16</v>
      </c>
      <c r="C11" s="5" t="s">
        <v>53</v>
      </c>
      <c r="D11" s="5" t="s">
        <v>54</v>
      </c>
      <c r="E11" s="5" t="s">
        <v>55</v>
      </c>
      <c r="F11" s="5" t="s">
        <v>33</v>
      </c>
      <c r="G11" s="5" t="s">
        <v>56</v>
      </c>
      <c r="H11" s="5" t="s">
        <v>200</v>
      </c>
      <c r="I11" s="9" t="s">
        <v>36</v>
      </c>
      <c r="J11" s="6">
        <v>2.82</v>
      </c>
      <c r="K11" s="7">
        <v>1.59</v>
      </c>
      <c r="L11" s="8" t="s">
        <v>192</v>
      </c>
      <c r="M11" s="5" t="s">
        <v>205</v>
      </c>
    </row>
    <row r="12" spans="1:13" ht="27" x14ac:dyDescent="0.45">
      <c r="A12" s="5" t="s">
        <v>57</v>
      </c>
      <c r="B12" s="5" t="s">
        <v>16</v>
      </c>
      <c r="C12" s="5" t="s">
        <v>53</v>
      </c>
      <c r="D12" s="5" t="s">
        <v>58</v>
      </c>
      <c r="E12" s="5" t="s">
        <v>59</v>
      </c>
      <c r="F12" s="5" t="s">
        <v>33</v>
      </c>
      <c r="G12" s="5" t="s">
        <v>56</v>
      </c>
      <c r="H12" s="5" t="s">
        <v>201</v>
      </c>
      <c r="I12" s="5"/>
      <c r="J12" s="6">
        <v>2</v>
      </c>
      <c r="K12" s="7">
        <v>1.79</v>
      </c>
      <c r="L12" s="8" t="s">
        <v>192</v>
      </c>
      <c r="M12" s="5" t="s">
        <v>206</v>
      </c>
    </row>
    <row r="13" spans="1:13" x14ac:dyDescent="0.45">
      <c r="A13" s="5" t="s">
        <v>60</v>
      </c>
      <c r="B13" s="5" t="s">
        <v>16</v>
      </c>
      <c r="C13" s="5" t="s">
        <v>53</v>
      </c>
      <c r="D13" s="5" t="s">
        <v>61</v>
      </c>
      <c r="E13" s="5" t="s">
        <v>62</v>
      </c>
      <c r="F13" s="5" t="s">
        <v>33</v>
      </c>
      <c r="G13" s="5" t="s">
        <v>56</v>
      </c>
      <c r="H13" s="5" t="s">
        <v>202</v>
      </c>
      <c r="I13" s="5"/>
      <c r="J13" s="6">
        <v>3</v>
      </c>
      <c r="K13" s="7">
        <v>2.16</v>
      </c>
      <c r="L13" s="8" t="s">
        <v>192</v>
      </c>
      <c r="M13" s="5" t="s">
        <v>207</v>
      </c>
    </row>
    <row r="14" spans="1:13" x14ac:dyDescent="0.45">
      <c r="A14" s="5" t="s">
        <v>56</v>
      </c>
      <c r="B14" s="5" t="s">
        <v>16</v>
      </c>
      <c r="C14" s="5" t="s">
        <v>63</v>
      </c>
      <c r="D14" s="5" t="s">
        <v>64</v>
      </c>
      <c r="E14" s="5" t="s">
        <v>65</v>
      </c>
      <c r="F14" s="5" t="s">
        <v>27</v>
      </c>
      <c r="G14" s="5" t="s">
        <v>20</v>
      </c>
      <c r="H14" s="5" t="s">
        <v>196</v>
      </c>
      <c r="I14" s="5"/>
      <c r="J14" s="6">
        <v>1</v>
      </c>
      <c r="K14" s="7">
        <v>3.19</v>
      </c>
      <c r="L14" s="8" t="s">
        <v>192</v>
      </c>
      <c r="M14" s="5" t="s">
        <v>208</v>
      </c>
    </row>
    <row r="15" spans="1:13" ht="27" x14ac:dyDescent="0.45">
      <c r="A15" s="5" t="s">
        <v>66</v>
      </c>
      <c r="B15" s="5" t="s">
        <v>16</v>
      </c>
      <c r="C15" s="5" t="s">
        <v>63</v>
      </c>
      <c r="D15" s="5" t="s">
        <v>67</v>
      </c>
      <c r="E15" s="5"/>
      <c r="F15" s="5" t="s">
        <v>27</v>
      </c>
      <c r="G15" s="5" t="s">
        <v>56</v>
      </c>
      <c r="H15" s="5" t="s">
        <v>203</v>
      </c>
      <c r="I15" s="5"/>
      <c r="J15" s="6">
        <v>1</v>
      </c>
      <c r="K15" s="7">
        <v>4.1900000000000004</v>
      </c>
      <c r="L15" s="8" t="s">
        <v>192</v>
      </c>
      <c r="M15" s="5" t="s">
        <v>209</v>
      </c>
    </row>
    <row r="16" spans="1:13" ht="27" x14ac:dyDescent="0.45">
      <c r="A16" s="5" t="s">
        <v>68</v>
      </c>
      <c r="B16" s="5" t="s">
        <v>16</v>
      </c>
      <c r="C16" s="5" t="s">
        <v>69</v>
      </c>
      <c r="D16" s="5" t="s">
        <v>70</v>
      </c>
      <c r="E16" s="5"/>
      <c r="F16" s="5" t="s">
        <v>27</v>
      </c>
      <c r="G16" s="5" t="s">
        <v>20</v>
      </c>
      <c r="H16" s="5" t="s">
        <v>211</v>
      </c>
      <c r="I16" s="5"/>
      <c r="J16" s="6">
        <v>2</v>
      </c>
      <c r="K16" s="7">
        <v>1.39</v>
      </c>
      <c r="L16" s="8" t="s">
        <v>192</v>
      </c>
      <c r="M16" s="5" t="s">
        <v>210</v>
      </c>
    </row>
    <row r="17" spans="1:13" x14ac:dyDescent="0.45">
      <c r="A17" s="5" t="s">
        <v>71</v>
      </c>
      <c r="B17" s="5" t="s">
        <v>16</v>
      </c>
      <c r="C17" s="5" t="s">
        <v>43</v>
      </c>
      <c r="D17" s="5" t="s">
        <v>72</v>
      </c>
      <c r="E17" s="5"/>
      <c r="F17" s="5"/>
      <c r="G17" s="5"/>
      <c r="H17" s="5"/>
      <c r="I17" s="5"/>
      <c r="J17" s="6">
        <v>0</v>
      </c>
      <c r="K17" s="7">
        <v>0</v>
      </c>
      <c r="L17" s="8" t="s">
        <v>192</v>
      </c>
      <c r="M17" s="5" t="s">
        <v>73</v>
      </c>
    </row>
    <row r="18" spans="1:13" ht="27" x14ac:dyDescent="0.45">
      <c r="A18" s="5" t="s">
        <v>74</v>
      </c>
      <c r="B18" s="5" t="s">
        <v>75</v>
      </c>
      <c r="C18" s="5" t="s">
        <v>63</v>
      </c>
      <c r="D18" s="5" t="s">
        <v>76</v>
      </c>
      <c r="E18" s="5" t="s">
        <v>77</v>
      </c>
      <c r="F18" s="5" t="s">
        <v>20</v>
      </c>
      <c r="G18" s="5" t="s">
        <v>21</v>
      </c>
      <c r="H18" s="5" t="s">
        <v>78</v>
      </c>
      <c r="I18" s="5"/>
      <c r="J18" s="6">
        <v>16</v>
      </c>
      <c r="K18" s="7"/>
      <c r="L18" s="8" t="s">
        <v>79</v>
      </c>
      <c r="M18" s="5" t="s">
        <v>80</v>
      </c>
    </row>
    <row r="19" spans="1:13" ht="27" x14ac:dyDescent="0.45">
      <c r="A19" s="5" t="s">
        <v>81</v>
      </c>
      <c r="B19" s="5" t="s">
        <v>75</v>
      </c>
      <c r="C19" s="5" t="s">
        <v>63</v>
      </c>
      <c r="D19" s="5" t="s">
        <v>82</v>
      </c>
      <c r="E19" s="5" t="s">
        <v>83</v>
      </c>
      <c r="F19" s="5" t="s">
        <v>27</v>
      </c>
      <c r="G19" s="5" t="s">
        <v>27</v>
      </c>
      <c r="H19" s="5" t="s">
        <v>84</v>
      </c>
      <c r="I19" s="5"/>
      <c r="J19" s="6">
        <v>8</v>
      </c>
      <c r="K19" s="7"/>
      <c r="L19" s="8" t="s">
        <v>79</v>
      </c>
      <c r="M19" s="5" t="s">
        <v>85</v>
      </c>
    </row>
    <row r="20" spans="1:13" ht="27" x14ac:dyDescent="0.45">
      <c r="A20" s="5" t="s">
        <v>86</v>
      </c>
      <c r="B20" s="5" t="s">
        <v>75</v>
      </c>
      <c r="C20" s="5" t="s">
        <v>63</v>
      </c>
      <c r="D20" s="5" t="s">
        <v>87</v>
      </c>
      <c r="E20" s="5"/>
      <c r="F20" s="5" t="s">
        <v>27</v>
      </c>
      <c r="G20" s="5" t="s">
        <v>20</v>
      </c>
      <c r="H20" s="5" t="s">
        <v>78</v>
      </c>
      <c r="I20" s="5"/>
      <c r="J20" s="6">
        <v>3</v>
      </c>
      <c r="K20" s="7"/>
      <c r="L20" s="8" t="s">
        <v>79</v>
      </c>
      <c r="M20" s="5" t="s">
        <v>85</v>
      </c>
    </row>
    <row r="21" spans="1:13" ht="27" x14ac:dyDescent="0.45">
      <c r="A21" s="5" t="s">
        <v>88</v>
      </c>
      <c r="B21" s="5" t="s">
        <v>75</v>
      </c>
      <c r="C21" s="5" t="s">
        <v>63</v>
      </c>
      <c r="D21" s="5" t="s">
        <v>89</v>
      </c>
      <c r="E21" s="5" t="s">
        <v>90</v>
      </c>
      <c r="F21" s="5" t="s">
        <v>27</v>
      </c>
      <c r="G21" s="5" t="s">
        <v>27</v>
      </c>
      <c r="H21" s="5" t="s">
        <v>91</v>
      </c>
      <c r="I21" s="5"/>
      <c r="J21" s="6">
        <v>11</v>
      </c>
      <c r="K21" s="7"/>
      <c r="L21" s="8" t="s">
        <v>79</v>
      </c>
      <c r="M21" s="5" t="s">
        <v>85</v>
      </c>
    </row>
    <row r="22" spans="1:13" x14ac:dyDescent="0.45">
      <c r="A22" s="5" t="s">
        <v>92</v>
      </c>
      <c r="B22" s="5" t="s">
        <v>75</v>
      </c>
      <c r="C22" s="5" t="s">
        <v>93</v>
      </c>
      <c r="D22" s="5" t="s">
        <v>94</v>
      </c>
      <c r="E22" s="5"/>
      <c r="F22" s="5" t="s">
        <v>27</v>
      </c>
      <c r="G22" s="5" t="s">
        <v>95</v>
      </c>
      <c r="H22" s="5" t="s">
        <v>96</v>
      </c>
      <c r="I22" s="5"/>
      <c r="J22" s="6">
        <v>6</v>
      </c>
      <c r="K22" s="7"/>
      <c r="L22" s="8" t="s">
        <v>79</v>
      </c>
      <c r="M22" s="5" t="s">
        <v>97</v>
      </c>
    </row>
    <row r="23" spans="1:13" x14ac:dyDescent="0.45">
      <c r="A23" s="5" t="s">
        <v>98</v>
      </c>
      <c r="B23" s="5" t="s">
        <v>75</v>
      </c>
      <c r="C23" s="5" t="s">
        <v>93</v>
      </c>
      <c r="D23" s="5" t="s">
        <v>99</v>
      </c>
      <c r="E23" s="5"/>
      <c r="F23" s="5" t="s">
        <v>27</v>
      </c>
      <c r="G23" s="5" t="s">
        <v>20</v>
      </c>
      <c r="H23" s="5" t="s">
        <v>96</v>
      </c>
      <c r="I23" s="5"/>
      <c r="J23" s="6">
        <v>2</v>
      </c>
      <c r="K23" s="7"/>
      <c r="L23" s="8" t="s">
        <v>79</v>
      </c>
      <c r="M23" s="5" t="s">
        <v>97</v>
      </c>
    </row>
    <row r="24" spans="1:13" x14ac:dyDescent="0.45">
      <c r="A24" s="5" t="s">
        <v>100</v>
      </c>
      <c r="B24" s="5" t="s">
        <v>101</v>
      </c>
      <c r="C24" s="5" t="s">
        <v>102</v>
      </c>
      <c r="D24" s="5" t="s">
        <v>103</v>
      </c>
      <c r="E24" s="5"/>
      <c r="F24" s="5" t="s">
        <v>27</v>
      </c>
      <c r="G24" s="5" t="s">
        <v>104</v>
      </c>
      <c r="H24" s="5" t="s">
        <v>105</v>
      </c>
      <c r="I24" s="5"/>
      <c r="J24" s="6">
        <v>0</v>
      </c>
      <c r="K24" s="7"/>
      <c r="L24" s="8" t="s">
        <v>101</v>
      </c>
      <c r="M24" s="5"/>
    </row>
    <row r="25" spans="1:13" x14ac:dyDescent="0.45">
      <c r="A25" s="5" t="s">
        <v>106</v>
      </c>
      <c r="B25" s="5" t="s">
        <v>101</v>
      </c>
      <c r="C25" s="5" t="s">
        <v>107</v>
      </c>
      <c r="D25" s="5" t="s">
        <v>108</v>
      </c>
      <c r="E25" s="5"/>
      <c r="F25" s="5" t="s">
        <v>33</v>
      </c>
      <c r="G25" s="5" t="s">
        <v>104</v>
      </c>
      <c r="H25" s="5" t="s">
        <v>105</v>
      </c>
      <c r="I25" s="5"/>
      <c r="J25" s="6">
        <v>0</v>
      </c>
      <c r="K25" s="7"/>
      <c r="L25" s="8" t="s">
        <v>101</v>
      </c>
      <c r="M25" s="5" t="s">
        <v>109</v>
      </c>
    </row>
    <row r="26" spans="1:13" x14ac:dyDescent="0.45">
      <c r="A26" s="5" t="s">
        <v>110</v>
      </c>
      <c r="B26" s="5" t="s">
        <v>101</v>
      </c>
      <c r="C26" s="5" t="s">
        <v>107</v>
      </c>
      <c r="D26" s="5" t="s">
        <v>111</v>
      </c>
      <c r="E26" s="5"/>
      <c r="F26" s="5" t="s">
        <v>112</v>
      </c>
      <c r="G26" s="5" t="s">
        <v>104</v>
      </c>
      <c r="H26" s="5" t="s">
        <v>105</v>
      </c>
      <c r="I26" s="5"/>
      <c r="J26" s="6">
        <v>0</v>
      </c>
      <c r="K26" s="7"/>
      <c r="L26" s="8" t="s">
        <v>101</v>
      </c>
      <c r="M26" s="5" t="s">
        <v>113</v>
      </c>
    </row>
    <row r="27" spans="1:13" x14ac:dyDescent="0.45">
      <c r="A27" s="5" t="s">
        <v>114</v>
      </c>
      <c r="B27" s="5" t="s">
        <v>101</v>
      </c>
      <c r="C27" s="5" t="s">
        <v>107</v>
      </c>
      <c r="D27" s="5" t="s">
        <v>115</v>
      </c>
      <c r="E27" s="5"/>
      <c r="F27" s="5" t="s">
        <v>112</v>
      </c>
      <c r="G27" s="5" t="s">
        <v>104</v>
      </c>
      <c r="H27" s="5" t="s">
        <v>105</v>
      </c>
      <c r="I27" s="5"/>
      <c r="J27" s="6">
        <v>0</v>
      </c>
      <c r="K27" s="7"/>
      <c r="L27" s="8" t="s">
        <v>101</v>
      </c>
      <c r="M27" s="5" t="s">
        <v>116</v>
      </c>
    </row>
    <row r="28" spans="1:13" x14ac:dyDescent="0.45">
      <c r="A28" s="5" t="s">
        <v>117</v>
      </c>
      <c r="B28" s="5" t="s">
        <v>101</v>
      </c>
      <c r="C28" s="5" t="s">
        <v>107</v>
      </c>
      <c r="D28" s="5" t="s">
        <v>118</v>
      </c>
      <c r="E28" s="5" t="s">
        <v>119</v>
      </c>
      <c r="F28" s="5" t="s">
        <v>20</v>
      </c>
      <c r="G28" s="5" t="s">
        <v>104</v>
      </c>
      <c r="H28" s="5" t="s">
        <v>105</v>
      </c>
      <c r="I28" s="5"/>
      <c r="J28" s="6">
        <v>0</v>
      </c>
      <c r="K28" s="7"/>
      <c r="L28" s="8" t="s">
        <v>101</v>
      </c>
      <c r="M28" s="5"/>
    </row>
    <row r="29" spans="1:13" x14ac:dyDescent="0.45">
      <c r="A29" s="5" t="s">
        <v>120</v>
      </c>
      <c r="B29" s="5" t="s">
        <v>101</v>
      </c>
      <c r="C29" s="5" t="s">
        <v>69</v>
      </c>
      <c r="D29" s="5" t="s">
        <v>121</v>
      </c>
      <c r="E29" s="5"/>
      <c r="F29" s="5" t="s">
        <v>27</v>
      </c>
      <c r="G29" s="5" t="s">
        <v>104</v>
      </c>
      <c r="H29" s="5" t="s">
        <v>105</v>
      </c>
      <c r="I29" s="5"/>
      <c r="J29" s="6">
        <v>0</v>
      </c>
      <c r="K29" s="7"/>
      <c r="L29" s="8" t="s">
        <v>101</v>
      </c>
      <c r="M29" s="5" t="s">
        <v>122</v>
      </c>
    </row>
    <row r="30" spans="1:13" x14ac:dyDescent="0.45">
      <c r="A30" s="5" t="s">
        <v>123</v>
      </c>
      <c r="B30" s="5" t="s">
        <v>101</v>
      </c>
      <c r="C30" s="5" t="s">
        <v>124</v>
      </c>
      <c r="D30" s="5" t="s">
        <v>125</v>
      </c>
      <c r="E30" s="5"/>
      <c r="F30" s="5" t="s">
        <v>126</v>
      </c>
      <c r="G30" s="5" t="s">
        <v>104</v>
      </c>
      <c r="H30" s="5" t="s">
        <v>127</v>
      </c>
      <c r="I30" s="5"/>
      <c r="J30" s="6">
        <v>0</v>
      </c>
      <c r="K30" s="7"/>
      <c r="L30" s="8" t="s">
        <v>101</v>
      </c>
      <c r="M30" s="5" t="s">
        <v>128</v>
      </c>
    </row>
    <row r="31" spans="1:13" x14ac:dyDescent="0.45">
      <c r="A31" s="5" t="s">
        <v>129</v>
      </c>
      <c r="B31" s="5" t="s">
        <v>101</v>
      </c>
      <c r="C31" s="5" t="s">
        <v>124</v>
      </c>
      <c r="D31" s="5" t="s">
        <v>130</v>
      </c>
      <c r="E31" s="5"/>
      <c r="F31" s="5" t="s">
        <v>131</v>
      </c>
      <c r="G31" s="5" t="s">
        <v>104</v>
      </c>
      <c r="H31" s="5" t="s">
        <v>127</v>
      </c>
      <c r="I31" s="5"/>
      <c r="J31" s="6">
        <v>0</v>
      </c>
      <c r="K31" s="7"/>
      <c r="L31" s="8" t="s">
        <v>101</v>
      </c>
      <c r="M31" s="5" t="s">
        <v>132</v>
      </c>
    </row>
    <row r="32" spans="1:13" ht="54" x14ac:dyDescent="0.45">
      <c r="A32" s="5" t="s">
        <v>133</v>
      </c>
      <c r="B32" s="5" t="s">
        <v>101</v>
      </c>
      <c r="C32" s="5" t="s">
        <v>134</v>
      </c>
      <c r="D32" s="5" t="s">
        <v>135</v>
      </c>
      <c r="E32" s="5"/>
      <c r="F32" s="5"/>
      <c r="G32" s="5" t="s">
        <v>104</v>
      </c>
      <c r="H32" s="5" t="s">
        <v>127</v>
      </c>
      <c r="I32" s="5"/>
      <c r="J32" s="6">
        <v>0</v>
      </c>
      <c r="K32" s="7"/>
      <c r="L32" s="8" t="s">
        <v>101</v>
      </c>
      <c r="M32" s="5" t="s">
        <v>136</v>
      </c>
    </row>
    <row r="33" spans="1:13" ht="27" x14ac:dyDescent="0.45">
      <c r="A33" s="5" t="s">
        <v>137</v>
      </c>
      <c r="B33" s="5" t="s">
        <v>101</v>
      </c>
      <c r="C33" s="5" t="s">
        <v>138</v>
      </c>
      <c r="D33" s="5" t="s">
        <v>139</v>
      </c>
      <c r="E33" s="5" t="s">
        <v>140</v>
      </c>
      <c r="F33" s="5"/>
      <c r="G33" s="5" t="s">
        <v>104</v>
      </c>
      <c r="H33" s="5" t="s">
        <v>141</v>
      </c>
      <c r="I33" s="5"/>
      <c r="J33" s="6">
        <v>0</v>
      </c>
      <c r="K33" s="7"/>
      <c r="L33" s="8" t="s">
        <v>101</v>
      </c>
      <c r="M33" s="5" t="s">
        <v>142</v>
      </c>
    </row>
    <row r="34" spans="1:13" x14ac:dyDescent="0.45">
      <c r="A34" s="5" t="s">
        <v>143</v>
      </c>
      <c r="B34" s="5" t="s">
        <v>144</v>
      </c>
      <c r="C34" s="5" t="s">
        <v>69</v>
      </c>
      <c r="D34" s="5" t="s">
        <v>145</v>
      </c>
      <c r="E34" s="5"/>
      <c r="F34" s="5" t="s">
        <v>20</v>
      </c>
      <c r="G34" s="5" t="s">
        <v>146</v>
      </c>
      <c r="H34" s="5" t="s">
        <v>147</v>
      </c>
      <c r="I34" s="5"/>
      <c r="J34" s="6">
        <v>4</v>
      </c>
      <c r="K34" s="7"/>
      <c r="L34" s="8" t="s">
        <v>79</v>
      </c>
      <c r="M34" s="5" t="s">
        <v>148</v>
      </c>
    </row>
    <row r="36" spans="1:13" x14ac:dyDescent="0.45">
      <c r="I36" s="10" t="s">
        <v>149</v>
      </c>
      <c r="J36" s="11">
        <f>SUM(J5:J34)</f>
        <v>104.87</v>
      </c>
      <c r="K36" s="11">
        <f>SUM(K5:K34)</f>
        <v>32.32</v>
      </c>
    </row>
  </sheetData>
  <autoFilter ref="A4:M34" xr:uid="{00000000-0009-0000-0000-000000000000}"/>
  <mergeCells count="1">
    <mergeCell ref="A2:M2"/>
  </mergeCells>
  <conditionalFormatting sqref="A5:M34">
    <cfRule type="expression" dxfId="5" priority="2">
      <formula>$L5="Verified"</formula>
    </cfRule>
    <cfRule type="expression" dxfId="4" priority="3">
      <formula>$L5="Received"</formula>
    </cfRule>
    <cfRule type="expression" dxfId="3" priority="4">
      <formula>$L5="Ordered"</formula>
    </cfRule>
    <cfRule type="expression" dxfId="2" priority="5">
      <formula>$L5="Deferred"</formula>
    </cfRule>
  </conditionalFormatting>
  <dataValidations count="1">
    <dataValidation type="list" allowBlank="1" sqref="L5:L54" xr:uid="{00000000-0002-0000-0000-000000000000}">
      <formula1>"Have,To order,Ordered,Received,Verified,Deferred"</formula1>
      <formula2>0</formula2>
    </dataValidation>
  </dataValidations>
  <hyperlinks>
    <hyperlink ref="I7" r:id="rId1" xr:uid="{00000000-0004-0000-0000-000000000000}"/>
    <hyperlink ref="I8" r:id="rId2" xr:uid="{00000000-0004-0000-0000-000001000000}"/>
    <hyperlink ref="I10" r:id="rId3" xr:uid="{00000000-0004-0000-0000-000002000000}"/>
    <hyperlink ref="I11" r:id="rId4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44" customWidth="1"/>
    <col min="2" max="2" width="6" customWidth="1"/>
    <col min="3" max="3" width="14" customWidth="1"/>
    <col min="4" max="4" width="26" customWidth="1"/>
    <col min="5" max="5" width="12" customWidth="1"/>
    <col min="6" max="7" width="14" customWidth="1"/>
    <col min="8" max="8" width="48" customWidth="1"/>
  </cols>
  <sheetData>
    <row r="1" spans="1:8" ht="17.649999999999999" x14ac:dyDescent="0.5">
      <c r="A1" s="2" t="s">
        <v>150</v>
      </c>
    </row>
    <row r="2" spans="1:8" x14ac:dyDescent="0.45">
      <c r="A2" s="1" t="s">
        <v>151</v>
      </c>
      <c r="B2" s="1"/>
      <c r="C2" s="1"/>
      <c r="D2" s="1"/>
      <c r="E2" s="1"/>
      <c r="F2" s="1"/>
      <c r="G2" s="1"/>
      <c r="H2" s="1"/>
    </row>
    <row r="4" spans="1:8" ht="28.15" x14ac:dyDescent="0.45">
      <c r="A4" s="12" t="s">
        <v>152</v>
      </c>
      <c r="B4" s="12" t="s">
        <v>153</v>
      </c>
      <c r="C4" s="12" t="s">
        <v>154</v>
      </c>
      <c r="D4" s="12" t="s">
        <v>155</v>
      </c>
      <c r="E4" s="12" t="s">
        <v>156</v>
      </c>
      <c r="F4" s="12" t="s">
        <v>157</v>
      </c>
      <c r="G4" s="12" t="s">
        <v>158</v>
      </c>
      <c r="H4" s="12" t="s">
        <v>14</v>
      </c>
    </row>
    <row r="5" spans="1:8" x14ac:dyDescent="0.45">
      <c r="A5" s="5" t="s">
        <v>159</v>
      </c>
      <c r="B5" s="13">
        <v>4</v>
      </c>
      <c r="C5" s="14">
        <v>5</v>
      </c>
      <c r="D5" s="8" t="s">
        <v>160</v>
      </c>
      <c r="E5" s="15">
        <f t="shared" ref="E5:E15" si="0">IF(C5="","",B5*C5)</f>
        <v>20</v>
      </c>
      <c r="F5" s="14"/>
      <c r="G5" s="15" t="str">
        <f t="shared" ref="G5:G15" si="1">IF(F5="","",B5*F5)</f>
        <v/>
      </c>
      <c r="H5" s="16"/>
    </row>
    <row r="6" spans="1:8" x14ac:dyDescent="0.45">
      <c r="A6" s="5" t="s">
        <v>161</v>
      </c>
      <c r="B6" s="13">
        <v>4</v>
      </c>
      <c r="C6" s="14">
        <v>0.4</v>
      </c>
      <c r="D6" s="8" t="s">
        <v>162</v>
      </c>
      <c r="E6" s="15">
        <f t="shared" si="0"/>
        <v>1.6</v>
      </c>
      <c r="F6" s="14"/>
      <c r="G6" s="15" t="str">
        <f t="shared" si="1"/>
        <v/>
      </c>
      <c r="H6" s="16"/>
    </row>
    <row r="7" spans="1:8" x14ac:dyDescent="0.45">
      <c r="A7" s="5" t="s">
        <v>163</v>
      </c>
      <c r="B7" s="13">
        <v>1</v>
      </c>
      <c r="C7" s="14"/>
      <c r="D7" s="8"/>
      <c r="E7" s="15" t="str">
        <f t="shared" si="0"/>
        <v/>
      </c>
      <c r="F7" s="14"/>
      <c r="G7" s="15" t="str">
        <f t="shared" si="1"/>
        <v/>
      </c>
      <c r="H7" s="16"/>
    </row>
    <row r="8" spans="1:8" x14ac:dyDescent="0.45">
      <c r="A8" s="5" t="s">
        <v>164</v>
      </c>
      <c r="B8" s="13">
        <v>1</v>
      </c>
      <c r="C8" s="14"/>
      <c r="D8" s="8"/>
      <c r="E8" s="15" t="str">
        <f t="shared" si="0"/>
        <v/>
      </c>
      <c r="F8" s="14"/>
      <c r="G8" s="15" t="str">
        <f t="shared" si="1"/>
        <v/>
      </c>
      <c r="H8" s="16"/>
    </row>
    <row r="9" spans="1:8" x14ac:dyDescent="0.45">
      <c r="A9" s="5" t="s">
        <v>165</v>
      </c>
      <c r="B9" s="13">
        <v>1</v>
      </c>
      <c r="C9" s="14"/>
      <c r="D9" s="8"/>
      <c r="E9" s="15" t="str">
        <f t="shared" si="0"/>
        <v/>
      </c>
      <c r="F9" s="14"/>
      <c r="G9" s="15" t="str">
        <f t="shared" si="1"/>
        <v/>
      </c>
      <c r="H9" s="16"/>
    </row>
    <row r="10" spans="1:8" x14ac:dyDescent="0.45">
      <c r="A10" s="5" t="s">
        <v>166</v>
      </c>
      <c r="B10" s="13">
        <v>1</v>
      </c>
      <c r="C10" s="14"/>
      <c r="D10" s="8"/>
      <c r="E10" s="15" t="str">
        <f t="shared" si="0"/>
        <v/>
      </c>
      <c r="F10" s="14"/>
      <c r="G10" s="15" t="str">
        <f t="shared" si="1"/>
        <v/>
      </c>
      <c r="H10" s="16"/>
    </row>
    <row r="11" spans="1:8" ht="27" x14ac:dyDescent="0.45">
      <c r="A11" s="5" t="s">
        <v>167</v>
      </c>
      <c r="B11" s="13">
        <v>1</v>
      </c>
      <c r="C11" s="14"/>
      <c r="D11" s="8"/>
      <c r="E11" s="15" t="str">
        <f t="shared" si="0"/>
        <v/>
      </c>
      <c r="F11" s="14"/>
      <c r="G11" s="15" t="str">
        <f t="shared" si="1"/>
        <v/>
      </c>
      <c r="H11" s="16"/>
    </row>
    <row r="12" spans="1:8" x14ac:dyDescent="0.45">
      <c r="A12" s="5" t="s">
        <v>168</v>
      </c>
      <c r="B12" s="13">
        <v>1</v>
      </c>
      <c r="C12" s="14"/>
      <c r="D12" s="8"/>
      <c r="E12" s="15" t="str">
        <f t="shared" si="0"/>
        <v/>
      </c>
      <c r="F12" s="14"/>
      <c r="G12" s="15" t="str">
        <f t="shared" si="1"/>
        <v/>
      </c>
      <c r="H12" s="16"/>
    </row>
    <row r="13" spans="1:8" x14ac:dyDescent="0.45">
      <c r="A13" s="5" t="s">
        <v>169</v>
      </c>
      <c r="B13" s="13">
        <v>1</v>
      </c>
      <c r="C13" s="14"/>
      <c r="D13" s="8"/>
      <c r="E13" s="15" t="str">
        <f t="shared" si="0"/>
        <v/>
      </c>
      <c r="F13" s="14"/>
      <c r="G13" s="15" t="str">
        <f t="shared" si="1"/>
        <v/>
      </c>
      <c r="H13" s="16"/>
    </row>
    <row r="14" spans="1:8" x14ac:dyDescent="0.45">
      <c r="A14" s="5" t="s">
        <v>132</v>
      </c>
      <c r="B14" s="13">
        <v>4</v>
      </c>
      <c r="C14" s="14"/>
      <c r="D14" s="8"/>
      <c r="E14" s="15" t="str">
        <f t="shared" si="0"/>
        <v/>
      </c>
      <c r="F14" s="14"/>
      <c r="G14" s="15" t="str">
        <f t="shared" si="1"/>
        <v/>
      </c>
      <c r="H14" s="16"/>
    </row>
    <row r="15" spans="1:8" x14ac:dyDescent="0.45">
      <c r="A15" s="5" t="s">
        <v>170</v>
      </c>
      <c r="B15" s="13">
        <v>1</v>
      </c>
      <c r="C15" s="14"/>
      <c r="D15" s="8"/>
      <c r="E15" s="15" t="str">
        <f t="shared" si="0"/>
        <v/>
      </c>
      <c r="F15" s="14"/>
      <c r="G15" s="15" t="str">
        <f t="shared" si="1"/>
        <v/>
      </c>
      <c r="H15" s="16"/>
    </row>
    <row r="16" spans="1:8" x14ac:dyDescent="0.45">
      <c r="E16" s="10" t="s">
        <v>171</v>
      </c>
      <c r="G16" s="10" t="s">
        <v>172</v>
      </c>
    </row>
    <row r="17" spans="1:8" x14ac:dyDescent="0.45">
      <c r="A17" s="10" t="s">
        <v>173</v>
      </c>
      <c r="E17" s="17">
        <f>SUM(E5:E15)</f>
        <v>21.6</v>
      </c>
      <c r="G17" s="17">
        <f>SUM(G5:G15)</f>
        <v>0</v>
      </c>
    </row>
    <row r="18" spans="1:8" x14ac:dyDescent="0.45">
      <c r="A18" s="10" t="s">
        <v>174</v>
      </c>
      <c r="E18" s="18">
        <f>0.15</f>
        <v>0.15</v>
      </c>
    </row>
    <row r="19" spans="1:8" x14ac:dyDescent="0.45">
      <c r="A19" s="10" t="s">
        <v>175</v>
      </c>
      <c r="E19" s="17">
        <f>E17*(1+E18)</f>
        <v>24.84</v>
      </c>
      <c r="G19" s="17">
        <f>G17</f>
        <v>0</v>
      </c>
    </row>
    <row r="20" spans="1:8" x14ac:dyDescent="0.45">
      <c r="A20" s="10" t="s">
        <v>176</v>
      </c>
      <c r="E20" s="17">
        <f>E19/4</f>
        <v>6.21</v>
      </c>
      <c r="G20" s="17">
        <f>G19/4</f>
        <v>0</v>
      </c>
    </row>
    <row r="21" spans="1:8" x14ac:dyDescent="0.45">
      <c r="A21" s="10" t="s">
        <v>177</v>
      </c>
      <c r="E21" s="17">
        <f>2*E20</f>
        <v>12.42</v>
      </c>
      <c r="G21" s="17">
        <f>2*G20</f>
        <v>0</v>
      </c>
    </row>
    <row r="22" spans="1:8" x14ac:dyDescent="0.45">
      <c r="A22" s="10" t="s">
        <v>178</v>
      </c>
      <c r="E22" s="19">
        <f>27</f>
        <v>27</v>
      </c>
      <c r="H22" s="3" t="s">
        <v>179</v>
      </c>
    </row>
    <row r="23" spans="1:8" x14ac:dyDescent="0.45">
      <c r="A23" s="10" t="s">
        <v>180</v>
      </c>
      <c r="E23" s="20">
        <f>IF(E19=0,"",4*E22/E19)</f>
        <v>4.3478260869565215</v>
      </c>
      <c r="G23" s="20" t="str">
        <f>IF(G19=0,"",4*E22/G19)</f>
        <v/>
      </c>
      <c r="H23" s="3" t="s">
        <v>181</v>
      </c>
    </row>
  </sheetData>
  <mergeCells count="1">
    <mergeCell ref="A2:H2"/>
  </mergeCells>
  <conditionalFormatting sqref="E23:G23">
    <cfRule type="cellIs" dxfId="1" priority="2" operator="lessThan">
      <formula>2</formula>
    </cfRule>
    <cfRule type="cellIs" dxfId="0" priority="3" operator="greaterThanOrEqual">
      <formula>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zoomScaleNormal="100" workbookViewId="0"/>
  </sheetViews>
  <sheetFormatPr defaultColWidth="8.6640625" defaultRowHeight="14.25" x14ac:dyDescent="0.45"/>
  <cols>
    <col min="1" max="1" width="36" customWidth="1"/>
    <col min="2" max="2" width="14" customWidth="1"/>
  </cols>
  <sheetData>
    <row r="1" spans="1:2" ht="17.649999999999999" x14ac:dyDescent="0.5">
      <c r="A1" s="2" t="s">
        <v>182</v>
      </c>
    </row>
    <row r="3" spans="1:2" x14ac:dyDescent="0.45">
      <c r="A3" s="10" t="s">
        <v>183</v>
      </c>
      <c r="B3" s="21">
        <f>100</f>
        <v>100</v>
      </c>
    </row>
    <row r="4" spans="1:2" x14ac:dyDescent="0.45">
      <c r="A4" s="22" t="s">
        <v>184</v>
      </c>
      <c r="B4" s="23">
        <f>SUMIFS(BOM!J5:J34,BOM!B5:B34,"A")</f>
        <v>54.870000000000005</v>
      </c>
    </row>
    <row r="5" spans="1:2" x14ac:dyDescent="0.45">
      <c r="A5" s="22" t="s">
        <v>185</v>
      </c>
      <c r="B5" s="23">
        <f>SUMIFS(BOM!J5:J34,BOM!B5:B34,"B")</f>
        <v>46</v>
      </c>
    </row>
    <row r="6" spans="1:2" x14ac:dyDescent="0.45">
      <c r="A6" s="22" t="s">
        <v>186</v>
      </c>
      <c r="B6" s="23">
        <f>SUMIFS(BOM!J5:J34,BOM!B5:B34,"Later")</f>
        <v>4</v>
      </c>
    </row>
    <row r="7" spans="1:2" x14ac:dyDescent="0.45">
      <c r="A7" s="10" t="s">
        <v>187</v>
      </c>
      <c r="B7" s="23">
        <f>B4+B5</f>
        <v>100.87</v>
      </c>
    </row>
    <row r="8" spans="1:2" x14ac:dyDescent="0.45">
      <c r="A8" s="10" t="s">
        <v>188</v>
      </c>
      <c r="B8" s="23">
        <f>B3-B7</f>
        <v>-0.87000000000000455</v>
      </c>
    </row>
    <row r="9" spans="1:2" x14ac:dyDescent="0.45">
      <c r="A9" s="22" t="s">
        <v>189</v>
      </c>
      <c r="B9" s="23">
        <f>SUM(BOM!K5:K34)</f>
        <v>32.32</v>
      </c>
    </row>
    <row r="10" spans="1:2" x14ac:dyDescent="0.45">
      <c r="A10" s="10" t="s">
        <v>190</v>
      </c>
      <c r="B10" s="23">
        <f>B3-B9</f>
        <v>67.680000000000007</v>
      </c>
    </row>
    <row r="12" spans="1:2" x14ac:dyDescent="0.45">
      <c r="A12" s="10" t="s">
        <v>191</v>
      </c>
    </row>
    <row r="13" spans="1:2" x14ac:dyDescent="0.45">
      <c r="A13" s="22" t="s">
        <v>101</v>
      </c>
      <c r="B13" s="24">
        <f>COUNTIF(BOM!L5:L34,"Have")</f>
        <v>10</v>
      </c>
    </row>
    <row r="14" spans="1:2" x14ac:dyDescent="0.45">
      <c r="A14" s="22" t="s">
        <v>22</v>
      </c>
      <c r="B14" s="24">
        <f>COUNTIF(BOM!L5:L34,"To order")</f>
        <v>0</v>
      </c>
    </row>
    <row r="15" spans="1:2" x14ac:dyDescent="0.45">
      <c r="A15" s="22" t="s">
        <v>192</v>
      </c>
      <c r="B15" s="24">
        <f>COUNTIF(BOM!L5:L34,"Ordered")</f>
        <v>11</v>
      </c>
    </row>
    <row r="16" spans="1:2" x14ac:dyDescent="0.45">
      <c r="A16" s="22" t="s">
        <v>193</v>
      </c>
      <c r="B16" s="24">
        <f>COUNTIF(BOM!L5:L34,"Received")</f>
        <v>2</v>
      </c>
    </row>
    <row r="17" spans="1:2" x14ac:dyDescent="0.45">
      <c r="A17" s="22" t="s">
        <v>194</v>
      </c>
      <c r="B17" s="24">
        <f>COUNTIF(BOM!L5:L34,"Verified")</f>
        <v>0</v>
      </c>
    </row>
    <row r="18" spans="1:2" x14ac:dyDescent="0.45">
      <c r="A18" s="22" t="s">
        <v>79</v>
      </c>
      <c r="B18" s="24">
        <f>COUNTIF(BOM!L5:L34,"Deferred")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Mass Budget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Ricardo Lizardi</cp:lastModifiedBy>
  <cp:revision>0</cp:revision>
  <dcterms:created xsi:type="dcterms:W3CDTF">2026-10-30T21:58:22Z</dcterms:created>
  <dcterms:modified xsi:type="dcterms:W3CDTF">2026-10-30T22:17:54Z</dcterms:modified>
  <dc:language>en-US</dc:language>
</cp:coreProperties>
</file>